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olors1.xml" ContentType="application/vnd.ms-office.chartcolorstyle+xml"/>
  <Override PartName="/xl/charts/style1.xml" ContentType="application/vnd.ms-office.chartstyl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<sst xmlns="http://schemas.openxmlformats.org/spreadsheetml/2006/main" count="19" uniqueCount="10">
  <si>
    <t>第一组</t>
  </si>
  <si>
    <t>第二组</t>
  </si>
  <si>
    <t>第三组</t>
  </si>
  <si>
    <t>第四组</t>
  </si>
  <si>
    <t>干重</t>
  </si>
  <si>
    <t>湿重</t>
  </si>
  <si>
    <t>湿度</t>
  </si>
  <si>
    <t>Rm</t>
  </si>
  <si>
    <t>Rr</t>
  </si>
  <si>
    <t>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</si>
</sst>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1">
    <xf numFmtId="0" fontId="0" fillId="0" borderId="0" xfId="0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128289473684211"/>
          <c:y val="0.274305555555556"/>
        </c:manualLayout>
      </c:layout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xVal>
            <c:numRef>
              <c:f>Sheet1!$I$3:$I$8</c:f>
              <c:numCache>
                <c:formatCode>General</c:formatCode>
                <c:ptCount val="6"/>
                <c:pt idx="0">
                  <c:v>26.3688638702258</c:v>
                </c:pt>
                <c:pt idx="1">
                  <c:v>22.777560001714</c:v>
                </c:pt>
                <c:pt idx="2">
                  <c:v>19.8439656961746</c:v>
                </c:pt>
                <c:pt idx="3">
                  <c:v>16.6701203065462</c:v>
                </c:pt>
                <c:pt idx="4">
                  <c:v>14.8661889031969</c:v>
                </c:pt>
                <c:pt idx="5">
                  <c:v>12.857598257811</c:v>
                </c:pt>
              </c:numCache>
            </c:numRef>
          </c:xVal>
          <c:yVal>
            <c:numRef>
              <c:f>Sheet1!$M$3:$M$8</c:f>
              <c:numCache>
                <c:formatCode>General</c:formatCode>
                <c:ptCount val="6"/>
                <c:pt idx="0">
                  <c:v>0.615535</c:v>
                </c:pt>
                <c:pt idx="1">
                  <c:v>0.617321</c:v>
                </c:pt>
                <c:pt idx="2">
                  <c:v>0.61466</c:v>
                </c:pt>
                <c:pt idx="3">
                  <c:v>0.60047</c:v>
                </c:pt>
                <c:pt idx="4">
                  <c:v>0.609577</c:v>
                </c:pt>
                <c:pt idx="5">
                  <c:v>0.601928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39638157"/>
        <c:axId val="798983740"/>
      </c:scatterChart>
      <c:valAx>
        <c:axId val="43963815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98983740"/>
        <c:crosses val="autoZero"/>
        <c:crossBetween val="midCat"/>
      </c:valAx>
      <c:valAx>
        <c:axId val="7989837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39638157"/>
        <c:crosses val="autoZero"/>
        <c:crossBetween val="midCat"/>
      </c:valAx>
      <c:spPr>
        <a:noFill/>
        <a:ln w="9525" cap="flat" cmpd="sng" algn="ctr">
          <a:solidFill>
            <a:schemeClr val="tx1">
              <a:lumMod val="15000"/>
              <a:lumOff val="85000"/>
            </a:schemeClr>
          </a:solidFill>
          <a:round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5b6461ec-5256-4af2-97ba-fca6c53aaa5a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19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19050" cap="rnd">
        <a:solidFill>
          <a:schemeClr val="phClr"/>
        </a:solidFill>
        <a:round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9525">
        <a:solidFill>
          <a:schemeClr val="phClr"/>
        </a:solidFill>
      </a:ln>
      <a:effectLst/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8</xdr:col>
      <xdr:colOff>250825</xdr:colOff>
      <xdr:row>12</xdr:row>
      <xdr:rowOff>98425</xdr:rowOff>
    </xdr:from>
    <xdr:to>
      <xdr:col>12</xdr:col>
      <xdr:colOff>142875</xdr:colOff>
      <xdr:row>28</xdr:row>
      <xdr:rowOff>98425</xdr:rowOff>
    </xdr:to>
    <xdr:graphicFrame>
      <xdr:nvGraphicFramePr>
        <xdr:cNvPr id="2" name="图表 1"/>
        <xdr:cNvGraphicFramePr/>
      </xdr:nvGraphicFramePr>
      <xdr:xfrm>
        <a:off x="6084570" y="2155825"/>
        <a:ext cx="482854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15"/>
  <sheetViews>
    <sheetView tabSelected="1" topLeftCell="D1" workbookViewId="0">
      <selection activeCell="N14" sqref="N14"/>
    </sheetView>
  </sheetViews>
  <sheetFormatPr defaultColWidth="9" defaultRowHeight="13.5"/>
  <cols>
    <col min="2" max="2" width="9.66666666666667"/>
    <col min="3" max="3" width="12.8916666666667"/>
    <col min="9" max="9" width="17.225" customWidth="1"/>
    <col min="10" max="10" width="14.225" customWidth="1"/>
    <col min="11" max="12" width="16.6666666666667" customWidth="1"/>
    <col min="13" max="13" width="26.8916666666667" customWidth="1"/>
  </cols>
  <sheetData>
    <row r="1" spans="1:23">
      <c r="A1" t="s">
        <v>0</v>
      </c>
      <c r="G1" t="s">
        <v>1</v>
      </c>
      <c r="O1" t="s">
        <v>2</v>
      </c>
      <c r="U1" t="s">
        <v>3</v>
      </c>
    </row>
    <row r="2" spans="1:23">
      <c r="A2" t="s">
        <v>4</v>
      </c>
      <c r="B2" t="s">
        <v>5</v>
      </c>
      <c r="C2" t="s">
        <v>6</v>
      </c>
      <c r="G2" t="s">
        <v>4</v>
      </c>
      <c r="H2" t="s">
        <v>5</v>
      </c>
      <c r="I2" t="s">
        <v>6</v>
      </c>
      <c r="J2" t="s">
        <v>7</v>
      </c>
      <c r="K2" t="s">
        <v>8</v>
      </c>
      <c r="M2" t="s">
        <v>9</v>
      </c>
      <c r="O2" t="s">
        <v>4</v>
      </c>
      <c r="P2" t="s">
        <v>5</v>
      </c>
      <c r="Q2" t="s">
        <v>6</v>
      </c>
      <c r="U2" t="s">
        <v>4</v>
      </c>
      <c r="V2" t="s">
        <v>5</v>
      </c>
      <c r="W2" t="s">
        <v>6</v>
      </c>
    </row>
    <row r="3" spans="1:23">
      <c r="A3">
        <v>44.6103</v>
      </c>
      <c r="B3">
        <v>47.78985</v>
      </c>
      <c r="C3">
        <f>(B3-A3)/B3</f>
        <v>0.0665319100185499</v>
      </c>
      <c r="G3">
        <v>48.6584</v>
      </c>
      <c r="H3">
        <v>66.084</v>
      </c>
      <c r="I3">
        <f t="shared" ref="I3:I8" si="0">(H3-G3)/H3*100</f>
        <v>26.3688638702258</v>
      </c>
      <c r="J3">
        <v>0.222969</v>
      </c>
      <c r="K3">
        <v>0.580136</v>
      </c>
      <c r="L3">
        <f t="shared" ref="L3:L8" si="1">K3-J3</f>
        <v>0.357167</v>
      </c>
      <c r="M3">
        <v>0.615535</v>
      </c>
      <c r="O3">
        <v>49.8191</v>
      </c>
      <c r="U3">
        <v>51.4012</v>
      </c>
    </row>
    <row r="4" spans="1:23">
      <c r="A4">
        <v>44.6103</v>
      </c>
      <c r="B4">
        <v>46.5586</v>
      </c>
      <c r="C4">
        <f>(B4-A4)/B4</f>
        <v>0.0418461895331904</v>
      </c>
      <c r="G4">
        <v>48.6584</v>
      </c>
      <c r="H4">
        <v>63.0107</v>
      </c>
      <c r="I4">
        <f t="shared" si="0"/>
        <v>22.777560001714</v>
      </c>
      <c r="J4">
        <v>0.220801</v>
      </c>
      <c r="K4">
        <v>0.577037</v>
      </c>
      <c r="L4">
        <f t="shared" si="1"/>
        <v>0.356236</v>
      </c>
      <c r="M4">
        <v>0.617321</v>
      </c>
      <c r="O4">
        <v>49.8191</v>
      </c>
      <c r="U4">
        <v>51.4012</v>
      </c>
    </row>
    <row r="5" spans="1:23">
      <c r="A5">
        <v>44.6103</v>
      </c>
      <c r="B5">
        <v>46.1665</v>
      </c>
      <c r="C5">
        <f>(B5-A5)/B5</f>
        <v>0.0337084249401622</v>
      </c>
      <c r="G5">
        <v>48.6584</v>
      </c>
      <c r="H5">
        <v>60.7046</v>
      </c>
      <c r="I5">
        <f t="shared" si="0"/>
        <v>19.8439656961746</v>
      </c>
      <c r="J5">
        <v>0.226343</v>
      </c>
      <c r="K5">
        <v>0.587512</v>
      </c>
      <c r="L5">
        <f t="shared" si="1"/>
        <v>0.361169</v>
      </c>
      <c r="M5">
        <v>0.61466</v>
      </c>
      <c r="O5">
        <v>49.8191</v>
      </c>
      <c r="U5">
        <v>51.4012</v>
      </c>
    </row>
    <row r="6" spans="1:23">
      <c r="A6">
        <v>44.6103</v>
      </c>
      <c r="B6">
        <v>45.9555</v>
      </c>
      <c r="C6">
        <f>(B6-A6)/B6</f>
        <v>0.0292717955413389</v>
      </c>
      <c r="G6">
        <v>48.6584</v>
      </c>
      <c r="H6">
        <v>58.3925</v>
      </c>
      <c r="I6">
        <f t="shared" si="0"/>
        <v>16.6701203065462</v>
      </c>
      <c r="J6">
        <v>0.243184</v>
      </c>
      <c r="K6">
        <v>0.608726</v>
      </c>
      <c r="L6">
        <f t="shared" si="1"/>
        <v>0.365542</v>
      </c>
      <c r="M6">
        <v>0.60047</v>
      </c>
      <c r="O6">
        <v>49.8191</v>
      </c>
      <c r="U6">
        <v>51.4012</v>
      </c>
    </row>
    <row r="7" spans="1:23">
      <c r="A7">
        <v>44.6103</v>
      </c>
      <c r="B7">
        <v>45.6645</v>
      </c>
      <c r="C7">
        <f>(B7-A7)/B7</f>
        <v>0.0230857668429523</v>
      </c>
      <c r="G7">
        <v>48.6584</v>
      </c>
      <c r="H7">
        <v>57.1552</v>
      </c>
      <c r="I7">
        <f t="shared" si="0"/>
        <v>14.8661889031969</v>
      </c>
      <c r="J7">
        <v>0.230127</v>
      </c>
      <c r="K7">
        <v>0.589542</v>
      </c>
      <c r="L7">
        <f t="shared" si="1"/>
        <v>0.359415</v>
      </c>
      <c r="M7">
        <v>0.609577</v>
      </c>
      <c r="O7">
        <v>49.8191</v>
      </c>
      <c r="U7">
        <v>51.4012</v>
      </c>
    </row>
    <row r="8" spans="1:23">
      <c r="A8">
        <v>44.6103</v>
      </c>
      <c r="G8">
        <v>48.6584</v>
      </c>
      <c r="H8">
        <v>55.8378</v>
      </c>
      <c r="I8">
        <f t="shared" si="0"/>
        <v>12.857598257811</v>
      </c>
      <c r="J8">
        <v>0.231657</v>
      </c>
      <c r="K8">
        <v>0.582029</v>
      </c>
      <c r="L8">
        <f t="shared" si="1"/>
        <v>0.350372</v>
      </c>
      <c r="M8">
        <v>0.601928</v>
      </c>
      <c r="O8">
        <v>49.8191</v>
      </c>
      <c r="U8">
        <v>51.4012</v>
      </c>
    </row>
    <row r="9" spans="1:23">
      <c r="A9">
        <v>44.6103</v>
      </c>
      <c r="G9">
        <v>48.6584</v>
      </c>
      <c r="O9">
        <v>49.8191</v>
      </c>
      <c r="U9">
        <v>51.4012</v>
      </c>
    </row>
    <row r="10" spans="1:23">
      <c r="A10">
        <v>44.6103</v>
      </c>
      <c r="G10">
        <v>48.6584</v>
      </c>
      <c r="O10">
        <v>49.8191</v>
      </c>
      <c r="U10">
        <v>51.4012</v>
      </c>
    </row>
    <row r="11" spans="1:23">
      <c r="A11">
        <v>44.6103</v>
      </c>
      <c r="G11">
        <v>48.6584</v>
      </c>
      <c r="O11">
        <v>49.8191</v>
      </c>
      <c r="U11">
        <v>51.4012</v>
      </c>
    </row>
    <row r="12" spans="1:23">
      <c r="A12">
        <v>44.6103</v>
      </c>
      <c r="G12">
        <v>48.6584</v>
      </c>
      <c r="O12">
        <v>49.8191</v>
      </c>
      <c r="U12">
        <v>51.4012</v>
      </c>
    </row>
    <row r="13" spans="1:23">
      <c r="A13">
        <v>44.6103</v>
      </c>
      <c r="G13">
        <v>48.6584</v>
      </c>
      <c r="O13">
        <v>49.8191</v>
      </c>
      <c r="U13">
        <v>51.4012</v>
      </c>
    </row>
    <row r="14" spans="1:23">
      <c r="A14">
        <v>44.6103</v>
      </c>
      <c r="G14">
        <v>48.6584</v>
      </c>
      <c r="O14">
        <v>49.8191</v>
      </c>
      <c r="U14">
        <v>51.4012</v>
      </c>
    </row>
    <row r="15" spans="1:23">
      <c r="A15">
        <v>44.6103</v>
      </c>
      <c r="G15">
        <v>48.6584</v>
      </c>
      <c r="O15">
        <v>49.8191</v>
      </c>
      <c r="U15">
        <v>51.4012</v>
      </c>
    </row>
  </sheetData>
  <pageMargins left="0.7" right="0.7" top="0.75" bottom="0.75" header="0.3" footer="0.3"/>
  <pageSetup paperSize="9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词穷</cp:lastModifiedBy>
  <dcterms:created xsi:type="dcterms:W3CDTF">2023-05-12T11:15:00Z</dcterms:created>
  <dcterms:modified xsi:type="dcterms:W3CDTF">2025-11-05T03:31:22Z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>9EA339CB20DE45E69C4A2DF0B49B3FC3_12</vt:lpwstr>
  </property>
</Properties>
</file>